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рия\Desktop\labs\lab_2.2.5\"/>
    </mc:Choice>
  </mc:AlternateContent>
  <bookViews>
    <workbookView xWindow="0" yWindow="0" windowWidth="23040" windowHeight="9192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C12" i="2"/>
  <c r="D12" i="2"/>
  <c r="B12" i="2"/>
  <c r="A12" i="2"/>
  <c r="C11" i="1"/>
  <c r="B11" i="1"/>
  <c r="B8" i="2"/>
  <c r="C8" i="2"/>
  <c r="D8" i="2"/>
  <c r="A8" i="2"/>
  <c r="B10" i="2"/>
  <c r="C10" i="2"/>
  <c r="D10" i="2"/>
  <c r="A10" i="2"/>
  <c r="E4" i="1"/>
  <c r="E5" i="1"/>
  <c r="E6" i="1"/>
  <c r="E3" i="1"/>
  <c r="B6" i="2" l="1"/>
  <c r="C6" i="2"/>
  <c r="D6" i="2"/>
  <c r="A6" i="2"/>
  <c r="F4" i="1"/>
  <c r="F5" i="1"/>
  <c r="F6" i="1"/>
  <c r="F3" i="1"/>
  <c r="D3" i="1"/>
  <c r="M5" i="1"/>
  <c r="M6" i="1"/>
  <c r="M7" i="1"/>
  <c r="M4" i="1"/>
  <c r="G4" i="1" l="1"/>
  <c r="G5" i="1"/>
  <c r="G6" i="1"/>
  <c r="D4" i="1"/>
  <c r="N5" i="1" s="1"/>
  <c r="D5" i="1"/>
  <c r="N6" i="1" s="1"/>
  <c r="D6" i="1"/>
  <c r="N7" i="1" s="1"/>
  <c r="N4" i="1"/>
</calcChain>
</file>

<file path=xl/sharedStrings.xml><?xml version="1.0" encoding="utf-8"?>
<sst xmlns="http://schemas.openxmlformats.org/spreadsheetml/2006/main" count="34" uniqueCount="27">
  <si>
    <t>h, mm</t>
  </si>
  <si>
    <t>t, c</t>
  </si>
  <si>
    <t>q, cm^3/c</t>
  </si>
  <si>
    <t>Re</t>
  </si>
  <si>
    <t>a, mm</t>
  </si>
  <si>
    <t>v, cm/c</t>
  </si>
  <si>
    <t>R, mm</t>
  </si>
  <si>
    <t>dh, mm</t>
  </si>
  <si>
    <t>t0,c</t>
  </si>
  <si>
    <t>t10,c</t>
  </si>
  <si>
    <t>t20,c</t>
  </si>
  <si>
    <t>t30,c</t>
  </si>
  <si>
    <t>ro1</t>
  </si>
  <si>
    <t>ro2</t>
  </si>
  <si>
    <t>ro3</t>
  </si>
  <si>
    <t>ro0, g/cm^3</t>
  </si>
  <si>
    <t>tg(alpha)</t>
  </si>
  <si>
    <t>etha</t>
  </si>
  <si>
    <t>eta0</t>
  </si>
  <si>
    <t>eta10</t>
  </si>
  <si>
    <t>eta20</t>
  </si>
  <si>
    <t>eta30</t>
  </si>
  <si>
    <t>delta</t>
  </si>
  <si>
    <t>delta0</t>
  </si>
  <si>
    <t>delta10</t>
  </si>
  <si>
    <t>delta20</t>
  </si>
  <si>
    <t>delta30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</si>
</sst>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.75"/>
      <color theme="1"/>
      <name val="Consolas"/>
      <family val="3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Лист1!$N$3</c:f>
              <c:strCache>
                <c:ptCount val="1"/>
                <c:pt idx="0">
                  <c:v>q, cm^3/c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Лист1!$M$4:$M$7</c:f>
              <c:numCache>
                <c:formatCode>General</c:formatCode>
                <c:ptCount val="4"/>
                <c:pt idx="0">
                  <c:v>62.1</c:v>
                </c:pt>
                <c:pt idx="1">
                  <c:v>82</c:v>
                </c:pt>
                <c:pt idx="2">
                  <c:v>47.3</c:v>
                </c:pt>
                <c:pt idx="3">
                  <c:v>59.2</c:v>
                </c:pt>
              </c:numCache>
            </c:numRef>
          </c:xVal>
          <c:yVal>
            <c:numRef>
              <c:f>Лист1!$N$4:$N$7</c:f>
              <c:numCache>
                <c:formatCode>General</c:formatCode>
                <c:ptCount val="4"/>
                <c:pt idx="0">
                  <c:v>4.7619047619047616E-2</c:v>
                </c:pt>
                <c:pt idx="1">
                  <c:v>6.6666666666666666E-2</c:v>
                </c:pt>
                <c:pt idx="2">
                  <c:v>3.9215686274509803E-2</c:v>
                </c:pt>
                <c:pt idx="3">
                  <c:v>4.6511627906976744E-2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E-4E90-8AF9-D66352F37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58384"/>
        <c:axId val="411855760"/>
      </c:scatterChart>
      <c:valAx>
        <c:axId val="4118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55760"/>
        <c:crosses val="autoZero"/>
        <c:crossBetween val="midCat"/>
      </c:valAx>
      <c:valAx>
        <c:axId val="4118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5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7</xdr:row>
      <xdr:rowOff>179070</xdr:rowOff>
    </xdr:from>
    <xdr:to>
      <xdr:col>19</xdr:col>
      <xdr:colOff>312420</xdr:colOff>
      <xdr:row>22</xdr:row>
      <xdr:rowOff>179070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"/>
  <sheetViews>
    <sheetView workbookViewId="0">
      <selection activeCell="C11" sqref="C11"/>
    </sheetView>
  </sheetViews>
  <sheetFormatPr defaultRowHeight="14.4" x14ac:dyDescent="0.3"/>
  <cols>
    <col min="5" max="5" width="12" bestFit="1" customWidth="1"/>
    <col min="6" max="6" width="11" bestFit="1" customWidth="1"/>
    <col min="7" max="7" width="12" bestFit="1" customWidth="1"/>
  </cols>
  <sheetData>
    <row r="2" spans="2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J2" t="s">
        <v>6</v>
      </c>
      <c r="K2" t="s">
        <v>7</v>
      </c>
    </row>
    <row r="3" spans="2:14" x14ac:dyDescent="0.3">
      <c r="B3">
        <v>62.1</v>
      </c>
      <c r="C3">
        <v>420</v>
      </c>
      <c r="D3">
        <f>20/C3</f>
        <v>4.7619047619047616E-2</v>
      </c>
      <c r="E3">
        <f>D3*1*0.04/(PI()*0.04*0.04*0.01)</f>
        <v>37.894034069498886</v>
      </c>
      <c r="F3">
        <f>0.2*0.4*E3</f>
        <v>3.0315227255599115</v>
      </c>
      <c r="G3">
        <f xml:space="preserve"> (B3-K$3)*0.01*POWER(J$3,2)/(8*0.01*135)</f>
        <v>196.74832500000002</v>
      </c>
      <c r="J3">
        <v>62.1</v>
      </c>
      <c r="K3">
        <v>7</v>
      </c>
      <c r="M3" t="s">
        <v>0</v>
      </c>
      <c r="N3" t="s">
        <v>2</v>
      </c>
    </row>
    <row r="4" spans="2:14" x14ac:dyDescent="0.3">
      <c r="B4">
        <v>82</v>
      </c>
      <c r="C4">
        <v>300</v>
      </c>
      <c r="D4">
        <f t="shared" ref="D4:D6" si="0">20/C4</f>
        <v>6.6666666666666666E-2</v>
      </c>
      <c r="E4">
        <f t="shared" ref="E4:E6" si="1">D4*1*0.04/(PI()*0.04*0.04*0.01)</f>
        <v>53.051647697298435</v>
      </c>
      <c r="F4">
        <f t="shared" ref="F4:F6" si="2">0.2*0.4*E4</f>
        <v>4.2441318157838754</v>
      </c>
      <c r="G4">
        <f t="shared" ref="G4:G6" si="3" xml:space="preserve"> (B4-K$3)*0.01*POWER(J$3,2)/(8*0.01*135)</f>
        <v>267.80625000000003</v>
      </c>
      <c r="M4">
        <f>B3</f>
        <v>62.1</v>
      </c>
      <c r="N4">
        <f>D3</f>
        <v>4.7619047619047616E-2</v>
      </c>
    </row>
    <row r="5" spans="2:14" x14ac:dyDescent="0.3">
      <c r="B5">
        <v>47.3</v>
      </c>
      <c r="C5">
        <v>510</v>
      </c>
      <c r="D5">
        <f t="shared" si="0"/>
        <v>3.9215686274509803E-2</v>
      </c>
      <c r="E5">
        <f t="shared" si="1"/>
        <v>31.206851586646138</v>
      </c>
      <c r="F5">
        <f t="shared" si="2"/>
        <v>2.4965481269316916</v>
      </c>
      <c r="G5">
        <f t="shared" si="3"/>
        <v>143.90122499999998</v>
      </c>
      <c r="J5" t="s">
        <v>16</v>
      </c>
      <c r="K5" t="s">
        <v>22</v>
      </c>
      <c r="M5">
        <f>B4</f>
        <v>82</v>
      </c>
      <c r="N5">
        <f t="shared" ref="N5:N7" si="4">D4</f>
        <v>6.6666666666666666E-2</v>
      </c>
    </row>
    <row r="6" spans="2:14" x14ac:dyDescent="0.3">
      <c r="B6">
        <v>59.2</v>
      </c>
      <c r="C6">
        <v>430</v>
      </c>
      <c r="D6">
        <f t="shared" si="0"/>
        <v>4.6511627906976744E-2</v>
      </c>
      <c r="E6">
        <f t="shared" si="1"/>
        <v>37.012777463231473</v>
      </c>
      <c r="F6">
        <f t="shared" si="2"/>
        <v>2.9610221970585182</v>
      </c>
      <c r="G6">
        <f t="shared" si="3"/>
        <v>186.39315000000002</v>
      </c>
      <c r="J6" s="1">
        <v>8.7976477838489203E-3</v>
      </c>
      <c r="K6">
        <v>3.7800000000000003E-4</v>
      </c>
      <c r="M6">
        <f>B5</f>
        <v>47.3</v>
      </c>
      <c r="N6">
        <f t="shared" si="4"/>
        <v>3.9215686274509803E-2</v>
      </c>
    </row>
    <row r="7" spans="2:14" x14ac:dyDescent="0.3">
      <c r="M7">
        <f>B6</f>
        <v>59.2</v>
      </c>
      <c r="N7">
        <f t="shared" si="4"/>
        <v>4.6511627906976744E-2</v>
      </c>
    </row>
    <row r="10" spans="2:14" x14ac:dyDescent="0.3">
      <c r="B10" s="2" t="s">
        <v>17</v>
      </c>
      <c r="C10" t="s">
        <v>22</v>
      </c>
    </row>
    <row r="11" spans="2:14" x14ac:dyDescent="0.3">
      <c r="B11">
        <f>(PI()*POWER(0.04,4)*1000)/(8*13.5*J6)</f>
        <v>8.4644649624567789E-3</v>
      </c>
      <c r="C11">
        <f>K6/J6*B11</f>
        <v>3.6368445684794968E-4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G12" sqref="G12"/>
    </sheetView>
  </sheetViews>
  <sheetFormatPr defaultRowHeight="14.4" x14ac:dyDescent="0.3"/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F1" t="s">
        <v>15</v>
      </c>
      <c r="G1" t="s">
        <v>12</v>
      </c>
      <c r="H1" t="s">
        <v>13</v>
      </c>
      <c r="I1" t="s">
        <v>14</v>
      </c>
    </row>
    <row r="2" spans="1:9" x14ac:dyDescent="0.3">
      <c r="A2">
        <v>8.94</v>
      </c>
      <c r="B2">
        <v>12.19</v>
      </c>
      <c r="C2">
        <v>15.69</v>
      </c>
      <c r="D2">
        <v>21.75</v>
      </c>
      <c r="F2">
        <v>1</v>
      </c>
      <c r="G2">
        <v>1.0189999999999999</v>
      </c>
      <c r="H2">
        <v>1.042</v>
      </c>
      <c r="I2">
        <v>1.0649999999999999</v>
      </c>
    </row>
    <row r="3" spans="1:9" x14ac:dyDescent="0.3">
      <c r="A3">
        <v>9.34</v>
      </c>
      <c r="B3">
        <v>12.34</v>
      </c>
      <c r="C3">
        <v>15.31</v>
      </c>
      <c r="D3">
        <v>21.47</v>
      </c>
    </row>
    <row r="4" spans="1:9" x14ac:dyDescent="0.3">
      <c r="A4">
        <v>9.2799999999999994</v>
      </c>
      <c r="B4">
        <v>12.31</v>
      </c>
      <c r="C4">
        <v>15.44</v>
      </c>
      <c r="D4">
        <v>21.35</v>
      </c>
    </row>
    <row r="5" spans="1:9" x14ac:dyDescent="0.3">
      <c r="A5">
        <v>9.41</v>
      </c>
      <c r="B5">
        <v>12.27</v>
      </c>
      <c r="C5">
        <v>15.31</v>
      </c>
      <c r="D5">
        <v>21.62</v>
      </c>
    </row>
    <row r="6" spans="1:9" x14ac:dyDescent="0.3">
      <c r="A6">
        <f>SUM(A2:A5)/4</f>
        <v>9.2424999999999997</v>
      </c>
      <c r="B6">
        <f t="shared" ref="B6:D6" si="0">SUM(B2:B5)/4</f>
        <v>12.2775</v>
      </c>
      <c r="C6">
        <f t="shared" si="0"/>
        <v>15.4375</v>
      </c>
      <c r="D6">
        <f t="shared" si="0"/>
        <v>21.547499999999999</v>
      </c>
    </row>
    <row r="7" spans="1:9" x14ac:dyDescent="0.3">
      <c r="A7" t="s">
        <v>23</v>
      </c>
      <c r="B7" t="s">
        <v>24</v>
      </c>
      <c r="C7" t="s">
        <v>25</v>
      </c>
      <c r="D7" t="s">
        <v>26</v>
      </c>
    </row>
    <row r="8" spans="1:9" x14ac:dyDescent="0.3">
      <c r="A8">
        <f>SQRT((POWER(A6-A5,2)+POWER(A6-A4,2)+POWER(A6-A3,2)+POWER(A6-A2,2))/12)</f>
        <v>0.10427327877585268</v>
      </c>
      <c r="B8">
        <f t="shared" ref="B8:D8" si="1">SQRT((POWER(B6-B5,2)+POWER(B6-B4,2)+POWER(B6-B3,2)+POWER(B6-B2,2))/12)</f>
        <v>3.250000000000014E-2</v>
      </c>
      <c r="C8">
        <f t="shared" si="1"/>
        <v>8.9570735548317473E-2</v>
      </c>
      <c r="D8">
        <f t="shared" si="1"/>
        <v>8.7213817712561925E-2</v>
      </c>
    </row>
    <row r="9" spans="1:9" x14ac:dyDescent="0.3">
      <c r="A9" t="s">
        <v>18</v>
      </c>
      <c r="B9" t="s">
        <v>19</v>
      </c>
      <c r="C9" t="s">
        <v>20</v>
      </c>
      <c r="D9" t="s">
        <v>21</v>
      </c>
    </row>
    <row r="10" spans="1:9" x14ac:dyDescent="0.3">
      <c r="A10">
        <f>Лист1!B11</f>
        <v>8.4644649624567789E-3</v>
      </c>
      <c r="B10">
        <f t="shared" ref="B10:C10" si="2">$A10*G2*B6/$F2/$A6</f>
        <v>1.1457613792752805E-2</v>
      </c>
      <c r="C10">
        <f t="shared" si="2"/>
        <v>1.473176362758555E-2</v>
      </c>
      <c r="D10">
        <f>$A10*I2*D6/$F2/$A6</f>
        <v>2.1016314049136314E-2</v>
      </c>
    </row>
    <row r="11" spans="1:9" x14ac:dyDescent="0.3">
      <c r="A11" t="s">
        <v>23</v>
      </c>
      <c r="B11" t="s">
        <v>24</v>
      </c>
      <c r="C11" t="s">
        <v>25</v>
      </c>
      <c r="D11" t="s">
        <v>26</v>
      </c>
    </row>
    <row r="12" spans="1:9" x14ac:dyDescent="0.3">
      <c r="A12">
        <f>Лист1!C11</f>
        <v>3.6368445684794968E-4</v>
      </c>
      <c r="B12">
        <f>B10*SQRT(POWER($A12/$A10,2)+POWER(B8/B6,2)+POWER($A8/$A6,2))</f>
        <v>5.0987913701488693E-4</v>
      </c>
      <c r="C12">
        <f t="shared" ref="C12:D12" si="3">C10*SQRT(POWER($A12/$A10,2)+POWER(C8/C6,2)+POWER($A8/$A6,2))</f>
        <v>6.5998083526489578E-4</v>
      </c>
      <c r="D12">
        <f t="shared" si="3"/>
        <v>9.3746523091667419E-4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</cp:lastModifiedBy>
  <dcterms:created xsi:type="dcterms:W3CDTF">2025-02-24T13:18:34Z</dcterms:created>
  <dcterms:modified xsi:type="dcterms:W3CDTF">2025-02-26T20:04:05Z</dcterms:modified>
</cp:coreProperties>
</file>