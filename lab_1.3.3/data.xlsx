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Мария\Desktop\labs\lab_1.3.3\"/>
    </mc:Choice>
  </mc:AlternateContent>
  <bookViews>
    <workbookView xWindow="0" yWindow="0" windowWidth="23040" windowHeight="9192" activeTab="1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3" i="2" l="1"/>
  <c r="Q32" i="2"/>
  <c r="O33" i="2"/>
  <c r="O32" i="2"/>
  <c r="O25" i="2"/>
  <c r="O24" i="2"/>
  <c r="O23" i="2"/>
  <c r="Q28" i="2"/>
  <c r="Q29" i="2"/>
  <c r="Q27" i="2"/>
  <c r="Q24" i="2"/>
  <c r="Q25" i="2"/>
  <c r="Q23" i="2"/>
  <c r="P29" i="2"/>
</calcChain>
</file>

<file path=xl/sharedStrings.xml><?xml version="1.0" encoding="utf-8"?>
<sst xmlns="http://schemas.openxmlformats.org/spreadsheetml/2006/main" count="57" uniqueCount="18">
  <si>
    <t>d1</t>
  </si>
  <si>
    <t>l1</t>
  </si>
  <si>
    <t>l2</t>
  </si>
  <si>
    <t>l3</t>
  </si>
  <si>
    <t>deltaP</t>
  </si>
  <si>
    <t>Q</t>
  </si>
  <si>
    <t>P</t>
  </si>
  <si>
    <t>d2</t>
  </si>
  <si>
    <t>d3</t>
  </si>
  <si>
    <t>slope1</t>
  </si>
  <si>
    <t>slope2</t>
  </si>
  <si>
    <t>slope3</t>
  </si>
  <si>
    <t xml:space="preserve">d1 </t>
  </si>
  <si>
    <t>ln(d)</t>
  </si>
  <si>
    <t>ln(Q)</t>
  </si>
  <si>
    <t>slope2_turbo</t>
  </si>
  <si>
    <t>slope3_turbo</t>
  </si>
  <si>
    <t>ln(Q)_turb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</si>
</sst>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9.75"/>
      <color theme="1"/>
      <name val="Consolas"/>
      <family val="3"/>
      <charset val="20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Fill="1" applyBorder="1" applyAlignment="1">
      <alignment horizontal="center"/>
    </xf>
    <xf numFmtId="0" fontId="0" fillId="0" borderId="6" xfId="0" applyBorder="1"/>
    <xf numFmtId="0" fontId="0" fillId="0" borderId="10" xfId="0" applyBorder="1"/>
    <xf numFmtId="0" fontId="0" fillId="0" borderId="11" xfId="0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 applyAlignment="1">
      <alignment vertical="center"/>
    </xf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Лист2!$B$3</c:f>
              <c:strCache>
                <c:ptCount val="1"/>
                <c:pt idx="0">
                  <c:v>Q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Лист2!$A$4:$A$10</c:f>
              <c:numCache>
                <c:formatCode>General</c:formatCode>
                <c:ptCount val="7"/>
                <c:pt idx="0">
                  <c:v>58.851990000000001</c:v>
                </c:pt>
                <c:pt idx="1">
                  <c:v>78.469319999999996</c:v>
                </c:pt>
                <c:pt idx="2">
                  <c:v>145.16824199999999</c:v>
                </c:pt>
                <c:pt idx="3">
                  <c:v>192.24983399999999</c:v>
                </c:pt>
                <c:pt idx="4">
                  <c:v>231.48449400000001</c:v>
                </c:pt>
                <c:pt idx="5">
                  <c:v>290.33648399999998</c:v>
                </c:pt>
                <c:pt idx="6">
                  <c:v>325.64767799999998</c:v>
                </c:pt>
              </c:numCache>
            </c:numRef>
          </c:xVal>
          <c:yVal>
            <c:numRef>
              <c:f>Лист2!$B$4:$B$10</c:f>
              <c:numCache>
                <c:formatCode>General</c:formatCode>
                <c:ptCount val="7"/>
                <c:pt idx="0">
                  <c:v>1</c:v>
                </c:pt>
                <c:pt idx="1">
                  <c:v>1.3</c:v>
                </c:pt>
                <c:pt idx="2">
                  <c:v>2.2999999999999998</c:v>
                </c:pt>
                <c:pt idx="3">
                  <c:v>3.5</c:v>
                </c:pt>
                <c:pt idx="4">
                  <c:v>4</c:v>
                </c:pt>
                <c:pt idx="5">
                  <c:v>4.8</c:v>
                </c:pt>
                <c:pt idx="6">
                  <c:v>5.3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E7-4A1D-B599-47362BCC9C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9763744"/>
        <c:axId val="389764400"/>
      </c:scatterChart>
      <c:valAx>
        <c:axId val="38976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764400"/>
        <c:crosses val="autoZero"/>
        <c:crossBetween val="midCat"/>
      </c:valAx>
      <c:valAx>
        <c:axId val="38976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9763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Лист2!$B$12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Лист2!$A$13:$A$20</c:f>
              <c:numCache>
                <c:formatCode>General</c:formatCode>
                <c:ptCount val="8"/>
                <c:pt idx="0">
                  <c:v>9.8086649999999995</c:v>
                </c:pt>
                <c:pt idx="1">
                  <c:v>52.966791000000001</c:v>
                </c:pt>
                <c:pt idx="2">
                  <c:v>109.85704800000001</c:v>
                </c:pt>
                <c:pt idx="3">
                  <c:v>166.74730499999998</c:v>
                </c:pt>
                <c:pt idx="4">
                  <c:v>241.293159</c:v>
                </c:pt>
                <c:pt idx="5">
                  <c:v>302.10688199999998</c:v>
                </c:pt>
                <c:pt idx="6">
                  <c:v>486.50978399999997</c:v>
                </c:pt>
                <c:pt idx="7">
                  <c:v>635.60149199999989</c:v>
                </c:pt>
              </c:numCache>
            </c:numRef>
          </c:xVal>
          <c:yVal>
            <c:numRef>
              <c:f>Лист2!$B$13:$B$20</c:f>
              <c:numCache>
                <c:formatCode>General</c:formatCode>
                <c:ptCount val="8"/>
                <c:pt idx="0">
                  <c:v>0.6</c:v>
                </c:pt>
                <c:pt idx="1">
                  <c:v>4</c:v>
                </c:pt>
                <c:pt idx="2">
                  <c:v>7.2</c:v>
                </c:pt>
                <c:pt idx="3">
                  <c:v>9</c:v>
                </c:pt>
                <c:pt idx="4">
                  <c:v>10.5</c:v>
                </c:pt>
                <c:pt idx="5">
                  <c:v>12</c:v>
                </c:pt>
                <c:pt idx="6">
                  <c:v>15</c:v>
                </c:pt>
                <c:pt idx="7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E5-4786-8CDE-631E9E4DC2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517888"/>
        <c:axId val="391519528"/>
      </c:scatterChart>
      <c:valAx>
        <c:axId val="391517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1519528"/>
        <c:crosses val="autoZero"/>
        <c:crossBetween val="midCat"/>
      </c:valAx>
      <c:valAx>
        <c:axId val="391519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15178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Лист2!$B$22</c:f>
              <c:strCache>
                <c:ptCount val="1"/>
                <c:pt idx="0">
                  <c:v>Q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Лист2!$A$23:$A$29</c:f>
              <c:numCache>
                <c:formatCode>General</c:formatCode>
                <c:ptCount val="7"/>
                <c:pt idx="0">
                  <c:v>21.579063000000001</c:v>
                </c:pt>
                <c:pt idx="1">
                  <c:v>41.196393</c:v>
                </c:pt>
                <c:pt idx="2">
                  <c:v>78.469319999999996</c:v>
                </c:pt>
                <c:pt idx="3">
                  <c:v>145.16824199999999</c:v>
                </c:pt>
                <c:pt idx="4">
                  <c:v>192.24983399999999</c:v>
                </c:pt>
                <c:pt idx="5">
                  <c:v>270.719154</c:v>
                </c:pt>
                <c:pt idx="6">
                  <c:v>357.03540599999997</c:v>
                </c:pt>
              </c:numCache>
            </c:numRef>
          </c:xVal>
          <c:yVal>
            <c:numRef>
              <c:f>Лист2!$B$23:$B$29</c:f>
              <c:numCache>
                <c:formatCode>General</c:formatCode>
                <c:ptCount val="7"/>
                <c:pt idx="0">
                  <c:v>2.6</c:v>
                </c:pt>
                <c:pt idx="1">
                  <c:v>4.8</c:v>
                </c:pt>
                <c:pt idx="2">
                  <c:v>7.8</c:v>
                </c:pt>
                <c:pt idx="3">
                  <c:v>10.6</c:v>
                </c:pt>
                <c:pt idx="4">
                  <c:v>12.7</c:v>
                </c:pt>
                <c:pt idx="5">
                  <c:v>15</c:v>
                </c:pt>
                <c:pt idx="6">
                  <c:v>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9E-46D6-A858-3694988F97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4123472"/>
        <c:axId val="394126096"/>
      </c:scatterChart>
      <c:valAx>
        <c:axId val="39412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4126096"/>
        <c:crosses val="autoZero"/>
        <c:crossBetween val="midCat"/>
      </c:valAx>
      <c:valAx>
        <c:axId val="39412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41234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Лист2!$F$37</c:f>
              <c:strCache>
                <c:ptCount val="1"/>
                <c:pt idx="0">
                  <c:v>ln(Q)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Лист2!$E$38:$E$40</c:f>
              <c:numCache>
                <c:formatCode>0.00</c:formatCode>
                <c:ptCount val="3"/>
                <c:pt idx="0">
                  <c:v>0.40546510810816438</c:v>
                </c:pt>
                <c:pt idx="1">
                  <c:v>0.71783979315031676</c:v>
                </c:pt>
                <c:pt idx="2">
                  <c:v>0.95551144502743635</c:v>
                </c:pt>
              </c:numCache>
            </c:numRef>
          </c:xVal>
          <c:yVal>
            <c:numRef>
              <c:f>Лист2!$F$38:$F$40</c:f>
              <c:numCache>
                <c:formatCode>0.00</c:formatCode>
                <c:ptCount val="3"/>
                <c:pt idx="0">
                  <c:v>1.7093278328999999</c:v>
                </c:pt>
                <c:pt idx="1">
                  <c:v>3.0398789471300001</c:v>
                </c:pt>
                <c:pt idx="2">
                  <c:v>4.0912798385790001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D1-489B-9868-DC3974A83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622392"/>
        <c:axId val="401623704"/>
      </c:scatterChart>
      <c:valAx>
        <c:axId val="40162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623704"/>
        <c:crosses val="autoZero"/>
        <c:crossBetween val="midCat"/>
      </c:valAx>
      <c:valAx>
        <c:axId val="401623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622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Лист2!$J$38</c:f>
              <c:strCache>
                <c:ptCount val="1"/>
                <c:pt idx="0">
                  <c:v>ln(Q)_turb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Лист2!$I$39:$I$40</c:f>
              <c:numCache>
                <c:formatCode>0.00</c:formatCode>
                <c:ptCount val="2"/>
                <c:pt idx="0">
                  <c:v>0.71783979315031676</c:v>
                </c:pt>
                <c:pt idx="1">
                  <c:v>0.95551144502743635</c:v>
                </c:pt>
              </c:numCache>
            </c:numRef>
          </c:xVal>
          <c:yVal>
            <c:numRef>
              <c:f>Лист2!$J$39:$J$40</c:f>
              <c:numCache>
                <c:formatCode>General</c:formatCode>
                <c:ptCount val="2"/>
                <c:pt idx="0">
                  <c:v>1.8</c:v>
                </c:pt>
                <c:pt idx="1">
                  <c:v>2.4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17-40BD-8F98-C437276EF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1799720"/>
        <c:axId val="401802344"/>
      </c:scatterChart>
      <c:valAx>
        <c:axId val="4017997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802344"/>
        <c:crosses val="autoZero"/>
        <c:crossBetween val="midCat"/>
      </c:valAx>
      <c:valAx>
        <c:axId val="401802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017997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388620</xdr:colOff>
      <xdr:row>1</xdr:row>
      <xdr:rowOff>87630</xdr:rowOff>
    </xdr:from>
    <xdr:to>
      <xdr:col>12</xdr:col>
      <xdr:colOff>83820</xdr:colOff>
      <xdr:row>17</xdr:row>
      <xdr:rowOff>87630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342900</xdr:colOff>
      <xdr:row>1</xdr:row>
      <xdr:rowOff>125730</xdr:rowOff>
    </xdr:from>
    <xdr:to>
      <xdr:col>20</xdr:col>
      <xdr:colOff>38100</xdr:colOff>
      <xdr:row>17</xdr:row>
      <xdr:rowOff>125730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327660</xdr:colOff>
      <xdr:row>18</xdr:row>
      <xdr:rowOff>57150</xdr:rowOff>
    </xdr:from>
    <xdr:to>
      <xdr:col>12</xdr:col>
      <xdr:colOff>22860</xdr:colOff>
      <xdr:row>34</xdr:row>
      <xdr:rowOff>49530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286870</xdr:colOff>
      <xdr:row>21</xdr:row>
      <xdr:rowOff>49306</xdr:rowOff>
    </xdr:from>
    <xdr:to>
      <xdr:col>24</xdr:col>
      <xdr:colOff>591670</xdr:colOff>
      <xdr:row>36</xdr:row>
      <xdr:rowOff>94129</xdr:rowOff>
    </xdr:to>
    <xdr:graphicFrame macro="">
      <xdr:nvGraphicFramePr>
        <xdr:cNvPr id="6" name="Диаграмма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546847</xdr:colOff>
      <xdr:row>37</xdr:row>
      <xdr:rowOff>22412</xdr:rowOff>
    </xdr:from>
    <xdr:to>
      <xdr:col>20</xdr:col>
      <xdr:colOff>242047</xdr:colOff>
      <xdr:row>52</xdr:row>
      <xdr:rowOff>76200</xdr:rowOff>
    </xdr:to>
    <xdr:graphicFrame macro="">
      <xdr:nvGraphicFramePr>
        <xdr:cNvPr id="10" name="Диаграмма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E8" sqref="E8"/>
    </sheetView>
  </sheetViews>
  <sheetFormatPr defaultRowHeight="14.4" x14ac:dyDescent="0.3"/>
  <sheetData>
    <row r="1" spans="1:15" x14ac:dyDescent="0.3">
      <c r="A1" s="11" t="s">
        <v>0</v>
      </c>
      <c r="B1" s="12"/>
      <c r="C1" s="12"/>
      <c r="D1" s="12"/>
      <c r="E1" s="12"/>
      <c r="F1" s="12"/>
      <c r="G1" s="12"/>
      <c r="H1" s="12"/>
      <c r="I1" s="13"/>
    </row>
    <row r="2" spans="1:15" x14ac:dyDescent="0.3">
      <c r="A2" s="14" t="s">
        <v>1</v>
      </c>
      <c r="B2" s="15"/>
      <c r="C2" s="15"/>
      <c r="D2" s="15" t="s">
        <v>2</v>
      </c>
      <c r="E2" s="15"/>
      <c r="F2" s="15"/>
      <c r="G2" s="15" t="s">
        <v>3</v>
      </c>
      <c r="H2" s="15"/>
      <c r="I2" s="16"/>
    </row>
    <row r="3" spans="1:15" x14ac:dyDescent="0.3">
      <c r="A3" s="9" t="s">
        <v>4</v>
      </c>
      <c r="B3" s="8" t="s">
        <v>5</v>
      </c>
      <c r="C3" s="8" t="s">
        <v>6</v>
      </c>
      <c r="D3" s="8" t="s">
        <v>4</v>
      </c>
      <c r="E3" s="8" t="s">
        <v>5</v>
      </c>
      <c r="F3" s="8" t="s">
        <v>6</v>
      </c>
      <c r="G3" s="8" t="s">
        <v>4</v>
      </c>
      <c r="H3" s="8" t="s">
        <v>5</v>
      </c>
      <c r="I3" s="10" t="s">
        <v>6</v>
      </c>
    </row>
    <row r="4" spans="1:15" x14ac:dyDescent="0.3">
      <c r="A4" s="1">
        <v>27.464262000000002</v>
      </c>
      <c r="B4" s="2">
        <v>0.7</v>
      </c>
      <c r="C4" s="2">
        <v>38</v>
      </c>
      <c r="D4" s="2">
        <v>58.851990000000001</v>
      </c>
      <c r="E4" s="2">
        <v>1</v>
      </c>
      <c r="F4" s="2">
        <v>68</v>
      </c>
      <c r="G4" s="2"/>
      <c r="H4" s="2"/>
      <c r="I4" s="3"/>
    </row>
    <row r="5" spans="1:15" x14ac:dyDescent="0.3">
      <c r="A5" s="1">
        <v>103.97184900000001</v>
      </c>
      <c r="B5" s="2">
        <v>3</v>
      </c>
      <c r="C5" s="2">
        <v>273</v>
      </c>
      <c r="D5" s="2">
        <v>78.469319999999996</v>
      </c>
      <c r="E5" s="2">
        <v>1.3</v>
      </c>
      <c r="F5" s="2">
        <v>100</v>
      </c>
      <c r="G5" s="2"/>
      <c r="H5" s="2"/>
      <c r="I5" s="3"/>
    </row>
    <row r="6" spans="1:15" x14ac:dyDescent="0.3">
      <c r="A6" s="1">
        <v>145.16824199999999</v>
      </c>
      <c r="B6" s="2">
        <v>1</v>
      </c>
      <c r="C6" s="2">
        <v>330</v>
      </c>
      <c r="D6" s="2">
        <v>145.16824199999999</v>
      </c>
      <c r="E6" s="2">
        <v>2.2999999999999998</v>
      </c>
      <c r="F6" s="2">
        <v>189</v>
      </c>
      <c r="G6" s="2"/>
      <c r="H6" s="2"/>
      <c r="I6" s="3"/>
    </row>
    <row r="7" spans="1:15" x14ac:dyDescent="0.3">
      <c r="A7" s="1"/>
      <c r="B7" s="2"/>
      <c r="C7" s="2"/>
      <c r="D7" s="2">
        <v>192.24983399999999</v>
      </c>
      <c r="E7" s="2">
        <v>3.5</v>
      </c>
      <c r="F7" s="2">
        <v>258</v>
      </c>
      <c r="G7" s="2"/>
      <c r="H7" s="2"/>
      <c r="I7" s="3"/>
    </row>
    <row r="8" spans="1:15" x14ac:dyDescent="0.3">
      <c r="A8" s="1"/>
      <c r="B8" s="2"/>
      <c r="C8" s="2"/>
      <c r="D8" s="2">
        <v>231.48449400000001</v>
      </c>
      <c r="E8" s="2">
        <v>4</v>
      </c>
      <c r="F8" s="2">
        <v>315</v>
      </c>
      <c r="G8" s="2"/>
      <c r="H8" s="2"/>
      <c r="I8" s="3"/>
    </row>
    <row r="9" spans="1:15" x14ac:dyDescent="0.3">
      <c r="A9" s="1"/>
      <c r="B9" s="2"/>
      <c r="C9" s="2"/>
      <c r="D9" s="2">
        <v>290.33648399999998</v>
      </c>
      <c r="E9" s="2">
        <v>4.8</v>
      </c>
      <c r="F9" s="2">
        <v>400</v>
      </c>
      <c r="G9" s="2"/>
      <c r="H9" s="2"/>
      <c r="I9" s="3"/>
    </row>
    <row r="10" spans="1:15" x14ac:dyDescent="0.3">
      <c r="A10" s="1"/>
      <c r="B10" s="2"/>
      <c r="C10" s="2"/>
      <c r="D10" s="2">
        <v>325.64767799999998</v>
      </c>
      <c r="E10" s="2">
        <v>5.3</v>
      </c>
      <c r="F10" s="2">
        <v>450</v>
      </c>
      <c r="G10" s="2"/>
      <c r="H10" s="2"/>
      <c r="I10" s="3"/>
    </row>
    <row r="11" spans="1:15" x14ac:dyDescent="0.3">
      <c r="A11" s="9" t="s">
        <v>4</v>
      </c>
      <c r="B11" s="8" t="s">
        <v>5</v>
      </c>
      <c r="C11" s="8" t="s">
        <v>6</v>
      </c>
      <c r="D11" s="8" t="s">
        <v>4</v>
      </c>
      <c r="E11" s="8" t="s">
        <v>5</v>
      </c>
      <c r="F11" s="8" t="s">
        <v>6</v>
      </c>
      <c r="G11" s="8" t="s">
        <v>4</v>
      </c>
      <c r="H11" s="8" t="s">
        <v>5</v>
      </c>
      <c r="I11" s="10" t="s">
        <v>6</v>
      </c>
      <c r="J11" s="7"/>
      <c r="K11" s="7"/>
      <c r="L11" s="7"/>
      <c r="M11" s="7"/>
      <c r="N11" s="7"/>
      <c r="O11" s="7"/>
    </row>
    <row r="12" spans="1:15" x14ac:dyDescent="0.3">
      <c r="A12" s="1">
        <v>23.540796000000004</v>
      </c>
      <c r="B12" s="2">
        <v>3.3</v>
      </c>
      <c r="C12" s="2">
        <v>350</v>
      </c>
      <c r="D12" s="2">
        <v>11.770398000000002</v>
      </c>
      <c r="E12" s="2">
        <v>1.2</v>
      </c>
      <c r="F12" s="2">
        <v>80</v>
      </c>
      <c r="G12" s="2">
        <v>9.8086649999999995</v>
      </c>
      <c r="H12" s="2">
        <v>0.6</v>
      </c>
      <c r="I12" s="3">
        <v>20</v>
      </c>
    </row>
    <row r="13" spans="1:15" x14ac:dyDescent="0.3">
      <c r="A13" s="1">
        <v>58.851990000000001</v>
      </c>
      <c r="B13" s="2">
        <v>5.5</v>
      </c>
      <c r="C13" s="2">
        <v>700</v>
      </c>
      <c r="D13" s="2">
        <v>51.005057999999998</v>
      </c>
      <c r="E13" s="2">
        <v>2.1</v>
      </c>
      <c r="F13" s="2">
        <v>200</v>
      </c>
      <c r="G13" s="2">
        <v>52.966791000000001</v>
      </c>
      <c r="H13" s="2">
        <v>4</v>
      </c>
      <c r="I13" s="3">
        <v>90</v>
      </c>
    </row>
    <row r="14" spans="1:15" x14ac:dyDescent="0.3">
      <c r="A14" s="1">
        <v>137.32130999999998</v>
      </c>
      <c r="B14" s="2">
        <v>7.7</v>
      </c>
      <c r="C14" s="2">
        <v>1500</v>
      </c>
      <c r="D14" s="2">
        <v>105.933582</v>
      </c>
      <c r="E14" s="2">
        <v>3.7</v>
      </c>
      <c r="F14" s="2">
        <v>400</v>
      </c>
      <c r="G14" s="2">
        <v>109.85704800000001</v>
      </c>
      <c r="H14" s="2">
        <v>7.2</v>
      </c>
      <c r="I14" s="3">
        <v>200</v>
      </c>
    </row>
    <row r="15" spans="1:15" x14ac:dyDescent="0.3">
      <c r="A15" s="1">
        <v>239.33142600000002</v>
      </c>
      <c r="B15" s="2">
        <v>10</v>
      </c>
      <c r="C15" s="2">
        <v>2350</v>
      </c>
      <c r="D15" s="2">
        <v>168.70903799999999</v>
      </c>
      <c r="E15" s="2">
        <v>5</v>
      </c>
      <c r="F15" s="2">
        <v>660</v>
      </c>
      <c r="G15" s="2">
        <v>166.74730499999998</v>
      </c>
      <c r="H15" s="2">
        <v>9</v>
      </c>
      <c r="I15" s="3">
        <v>300</v>
      </c>
    </row>
    <row r="16" spans="1:15" x14ac:dyDescent="0.3">
      <c r="A16" s="1">
        <v>380.57620200000002</v>
      </c>
      <c r="B16" s="2">
        <v>12.8</v>
      </c>
      <c r="C16" s="2">
        <v>3700</v>
      </c>
      <c r="D16" s="2">
        <v>298.18341600000002</v>
      </c>
      <c r="E16" s="2">
        <v>6.6</v>
      </c>
      <c r="F16" s="2">
        <v>1070</v>
      </c>
      <c r="G16" s="2">
        <v>241.293159</v>
      </c>
      <c r="H16" s="2">
        <v>10.5</v>
      </c>
      <c r="I16" s="3">
        <v>420</v>
      </c>
    </row>
    <row r="17" spans="1:9" x14ac:dyDescent="0.3">
      <c r="A17" s="1"/>
      <c r="B17" s="2"/>
      <c r="C17" s="2"/>
      <c r="D17" s="2">
        <v>380.57620200000002</v>
      </c>
      <c r="E17" s="2">
        <v>7.3</v>
      </c>
      <c r="F17" s="2">
        <v>1300</v>
      </c>
      <c r="G17" s="2">
        <v>302.10688199999998</v>
      </c>
      <c r="H17" s="2">
        <v>12</v>
      </c>
      <c r="I17" s="3">
        <v>510</v>
      </c>
    </row>
    <row r="18" spans="1:9" x14ac:dyDescent="0.3">
      <c r="A18" s="1"/>
      <c r="B18" s="2"/>
      <c r="C18" s="2"/>
      <c r="D18" s="2">
        <v>772.92280200000005</v>
      </c>
      <c r="E18" s="2">
        <v>10.6</v>
      </c>
      <c r="F18" s="2">
        <v>2600</v>
      </c>
      <c r="G18" s="2">
        <v>486.50978399999997</v>
      </c>
      <c r="H18" s="2">
        <v>15</v>
      </c>
      <c r="I18" s="3">
        <v>800</v>
      </c>
    </row>
    <row r="19" spans="1:9" x14ac:dyDescent="0.3">
      <c r="A19" s="1"/>
      <c r="B19" s="2"/>
      <c r="C19" s="2"/>
      <c r="D19" s="2"/>
      <c r="E19" s="2"/>
      <c r="F19" s="2"/>
      <c r="G19" s="2">
        <v>635.60149199999989</v>
      </c>
      <c r="H19" s="2">
        <v>17</v>
      </c>
      <c r="I19" s="3">
        <v>1050</v>
      </c>
    </row>
    <row r="20" spans="1:9" x14ac:dyDescent="0.3">
      <c r="A20" s="9" t="s">
        <v>4</v>
      </c>
      <c r="B20" s="8" t="s">
        <v>5</v>
      </c>
      <c r="C20" s="8" t="s">
        <v>6</v>
      </c>
      <c r="D20" s="8" t="s">
        <v>4</v>
      </c>
      <c r="E20" s="8" t="s">
        <v>5</v>
      </c>
      <c r="F20" s="8" t="s">
        <v>6</v>
      </c>
      <c r="G20" s="8" t="s">
        <v>4</v>
      </c>
      <c r="H20" s="8" t="s">
        <v>5</v>
      </c>
      <c r="I20" s="10" t="s">
        <v>6</v>
      </c>
    </row>
    <row r="21" spans="1:9" x14ac:dyDescent="0.3">
      <c r="A21" s="1">
        <v>39.234659999999998</v>
      </c>
      <c r="B21" s="2">
        <v>7.3</v>
      </c>
      <c r="C21" s="2">
        <v>215</v>
      </c>
      <c r="D21" s="2">
        <v>21.579063000000001</v>
      </c>
      <c r="E21" s="2">
        <v>2.6</v>
      </c>
      <c r="F21" s="2">
        <v>60</v>
      </c>
      <c r="G21" s="2"/>
      <c r="H21" s="2"/>
      <c r="I21" s="3"/>
    </row>
    <row r="22" spans="1:9" x14ac:dyDescent="0.3">
      <c r="A22" s="1">
        <v>70.622388000000001</v>
      </c>
      <c r="B22" s="2">
        <v>11.8</v>
      </c>
      <c r="C22" s="2">
        <v>500</v>
      </c>
      <c r="D22" s="2">
        <v>41.196393</v>
      </c>
      <c r="E22" s="2">
        <v>4.8</v>
      </c>
      <c r="F22" s="2">
        <v>125</v>
      </c>
      <c r="G22" s="2"/>
      <c r="H22" s="2"/>
      <c r="I22" s="3"/>
    </row>
    <row r="23" spans="1:9" x14ac:dyDescent="0.3">
      <c r="A23" s="1">
        <v>102.010116</v>
      </c>
      <c r="B23" s="2">
        <v>14</v>
      </c>
      <c r="C23" s="2">
        <v>700</v>
      </c>
      <c r="D23" s="2">
        <v>78.469319999999996</v>
      </c>
      <c r="E23" s="2">
        <v>7.8</v>
      </c>
      <c r="F23" s="2">
        <v>233</v>
      </c>
      <c r="G23" s="2"/>
      <c r="H23" s="2"/>
      <c r="I23" s="3"/>
    </row>
    <row r="24" spans="1:9" x14ac:dyDescent="0.3">
      <c r="A24" s="1">
        <v>129.474378</v>
      </c>
      <c r="B24" s="2">
        <v>16</v>
      </c>
      <c r="C24" s="2">
        <v>900</v>
      </c>
      <c r="D24" s="2">
        <v>145.16824199999999</v>
      </c>
      <c r="E24" s="2">
        <v>10.6</v>
      </c>
      <c r="F24" s="2">
        <v>428</v>
      </c>
      <c r="G24" s="2"/>
      <c r="H24" s="2"/>
      <c r="I24" s="3"/>
    </row>
    <row r="25" spans="1:9" x14ac:dyDescent="0.3">
      <c r="A25" s="1">
        <v>145.16824199999999</v>
      </c>
      <c r="B25" s="2">
        <v>17</v>
      </c>
      <c r="C25" s="2">
        <v>1050</v>
      </c>
      <c r="D25" s="2">
        <v>192.24983399999999</v>
      </c>
      <c r="E25" s="2">
        <v>12.7</v>
      </c>
      <c r="F25" s="2">
        <v>571</v>
      </c>
      <c r="G25" s="2"/>
      <c r="H25" s="2"/>
      <c r="I25" s="3"/>
    </row>
    <row r="26" spans="1:9" x14ac:dyDescent="0.3">
      <c r="A26" s="1"/>
      <c r="B26" s="2"/>
      <c r="C26" s="2"/>
      <c r="D26" s="2">
        <v>270.719154</v>
      </c>
      <c r="E26" s="2">
        <v>15</v>
      </c>
      <c r="F26" s="2">
        <v>800</v>
      </c>
      <c r="G26" s="2"/>
      <c r="H26" s="2"/>
      <c r="I26" s="3"/>
    </row>
    <row r="27" spans="1:9" ht="15" thickBot="1" x14ac:dyDescent="0.35">
      <c r="A27" s="4"/>
      <c r="B27" s="5"/>
      <c r="C27" s="5"/>
      <c r="D27" s="5">
        <v>357.03540599999997</v>
      </c>
      <c r="E27" s="5">
        <v>17</v>
      </c>
      <c r="F27" s="5">
        <v>1050</v>
      </c>
      <c r="G27" s="5"/>
      <c r="H27" s="5"/>
      <c r="I27" s="6"/>
    </row>
  </sheetData>
  <sortState ref="A12:C18">
    <sortCondition ref="A12:A18"/>
  </sortState>
  <mergeCells count="4">
    <mergeCell ref="A1:I1"/>
    <mergeCell ref="A2:C2"/>
    <mergeCell ref="D2:F2"/>
    <mergeCell ref="G2:I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"/>
  <sheetViews>
    <sheetView tabSelected="1" topLeftCell="A7" zoomScale="85" zoomScaleNormal="85" workbookViewId="0">
      <selection activeCell="V11" sqref="V11"/>
    </sheetView>
  </sheetViews>
  <sheetFormatPr defaultRowHeight="14.4" x14ac:dyDescent="0.3"/>
  <sheetData>
    <row r="1" spans="1:9" x14ac:dyDescent="0.3">
      <c r="A1" s="19" t="s">
        <v>0</v>
      </c>
      <c r="B1" s="20"/>
      <c r="C1" s="21"/>
      <c r="D1" s="2"/>
      <c r="E1" s="2"/>
      <c r="F1" s="2"/>
      <c r="G1" s="2"/>
      <c r="H1" s="2"/>
      <c r="I1" s="2"/>
    </row>
    <row r="2" spans="1:9" x14ac:dyDescent="0.3">
      <c r="A2" s="14" t="s">
        <v>1</v>
      </c>
      <c r="B2" s="15"/>
      <c r="C2" s="16"/>
      <c r="D2" s="18"/>
      <c r="E2" s="18"/>
      <c r="F2" s="18"/>
      <c r="G2" s="18"/>
      <c r="H2" s="18"/>
      <c r="I2" s="18"/>
    </row>
    <row r="3" spans="1:9" x14ac:dyDescent="0.3">
      <c r="A3" s="9" t="s">
        <v>4</v>
      </c>
      <c r="B3" s="8" t="s">
        <v>5</v>
      </c>
      <c r="C3" s="10" t="s">
        <v>6</v>
      </c>
      <c r="D3" s="2"/>
      <c r="E3" s="2"/>
      <c r="F3" s="2"/>
      <c r="G3" s="2"/>
      <c r="H3" s="2"/>
      <c r="I3" s="2"/>
    </row>
    <row r="4" spans="1:9" x14ac:dyDescent="0.3">
      <c r="A4" s="1">
        <v>58.851990000000001</v>
      </c>
      <c r="B4" s="2">
        <v>1</v>
      </c>
      <c r="C4" s="3">
        <v>68</v>
      </c>
      <c r="D4" s="2"/>
      <c r="E4" s="2"/>
      <c r="F4" s="2"/>
      <c r="G4" s="2"/>
      <c r="H4" s="2"/>
      <c r="I4" s="2"/>
    </row>
    <row r="5" spans="1:9" x14ac:dyDescent="0.3">
      <c r="A5" s="1">
        <v>78.469319999999996</v>
      </c>
      <c r="B5" s="2">
        <v>1.3</v>
      </c>
      <c r="C5" s="3">
        <v>100</v>
      </c>
      <c r="D5" s="2"/>
      <c r="E5" s="2"/>
      <c r="F5" s="2"/>
      <c r="G5" s="2"/>
      <c r="H5" s="2"/>
      <c r="I5" s="2"/>
    </row>
    <row r="6" spans="1:9" x14ac:dyDescent="0.3">
      <c r="A6" s="1">
        <v>145.16824199999999</v>
      </c>
      <c r="B6" s="2">
        <v>2.2999999999999998</v>
      </c>
      <c r="C6" s="3">
        <v>189</v>
      </c>
      <c r="D6" s="2"/>
      <c r="E6" s="2"/>
      <c r="F6" s="2"/>
      <c r="G6" s="2"/>
      <c r="H6" s="2"/>
      <c r="I6" s="2"/>
    </row>
    <row r="7" spans="1:9" x14ac:dyDescent="0.3">
      <c r="A7" s="1">
        <v>192.24983399999999</v>
      </c>
      <c r="B7" s="2">
        <v>3.5</v>
      </c>
      <c r="C7" s="3">
        <v>258</v>
      </c>
      <c r="D7" s="2"/>
      <c r="E7" s="2"/>
      <c r="F7" s="2"/>
      <c r="G7" s="2"/>
      <c r="H7" s="2"/>
      <c r="I7" s="2"/>
    </row>
    <row r="8" spans="1:9" x14ac:dyDescent="0.3">
      <c r="A8" s="1">
        <v>231.48449400000001</v>
      </c>
      <c r="B8" s="2">
        <v>4</v>
      </c>
      <c r="C8" s="3">
        <v>315</v>
      </c>
      <c r="D8" s="2"/>
      <c r="E8" s="2"/>
      <c r="F8" s="2"/>
      <c r="G8" s="2"/>
      <c r="H8" s="2"/>
      <c r="I8" s="2"/>
    </row>
    <row r="9" spans="1:9" x14ac:dyDescent="0.3">
      <c r="A9" s="1">
        <v>290.33648399999998</v>
      </c>
      <c r="B9" s="2">
        <v>4.8</v>
      </c>
      <c r="C9" s="3">
        <v>400</v>
      </c>
      <c r="D9" s="2"/>
      <c r="E9" s="2"/>
      <c r="F9" s="2"/>
      <c r="G9" s="2"/>
      <c r="H9" s="2"/>
      <c r="I9" s="2"/>
    </row>
    <row r="10" spans="1:9" x14ac:dyDescent="0.3">
      <c r="A10" s="1">
        <v>325.64767799999998</v>
      </c>
      <c r="B10" s="2">
        <v>5.3</v>
      </c>
      <c r="C10" s="3">
        <v>450</v>
      </c>
      <c r="D10" s="2"/>
      <c r="E10" s="2"/>
      <c r="F10" s="2"/>
      <c r="G10" s="2"/>
      <c r="H10" s="2"/>
      <c r="I10" s="2"/>
    </row>
    <row r="11" spans="1:9" x14ac:dyDescent="0.3">
      <c r="A11" s="22" t="s">
        <v>7</v>
      </c>
      <c r="B11" s="17"/>
      <c r="C11" s="23"/>
      <c r="D11" s="2"/>
      <c r="E11" s="2"/>
      <c r="F11" s="2"/>
      <c r="G11" s="2"/>
      <c r="H11" s="2"/>
      <c r="I11" s="2"/>
    </row>
    <row r="12" spans="1:9" x14ac:dyDescent="0.3">
      <c r="A12" s="9" t="s">
        <v>4</v>
      </c>
      <c r="B12" s="8" t="s">
        <v>5</v>
      </c>
      <c r="C12" s="10" t="s">
        <v>6</v>
      </c>
      <c r="D12" s="2"/>
      <c r="E12" s="2"/>
      <c r="F12" s="2"/>
      <c r="G12" s="2"/>
      <c r="H12" s="2"/>
      <c r="I12" s="2"/>
    </row>
    <row r="13" spans="1:9" x14ac:dyDescent="0.3">
      <c r="A13" s="1">
        <v>9.8086649999999995</v>
      </c>
      <c r="B13" s="2">
        <v>0.6</v>
      </c>
      <c r="C13" s="3">
        <v>20</v>
      </c>
      <c r="D13" s="2"/>
      <c r="E13" s="2"/>
      <c r="F13" s="2"/>
      <c r="G13" s="2"/>
      <c r="H13" s="2"/>
      <c r="I13" s="2"/>
    </row>
    <row r="14" spans="1:9" x14ac:dyDescent="0.3">
      <c r="A14" s="1">
        <v>52.966791000000001</v>
      </c>
      <c r="B14" s="2">
        <v>4</v>
      </c>
      <c r="C14" s="3">
        <v>90</v>
      </c>
      <c r="D14" s="2"/>
      <c r="E14" s="2"/>
      <c r="F14" s="2"/>
      <c r="G14" s="2"/>
      <c r="H14" s="2"/>
      <c r="I14" s="2"/>
    </row>
    <row r="15" spans="1:9" x14ac:dyDescent="0.3">
      <c r="A15" s="1">
        <v>109.85704800000001</v>
      </c>
      <c r="B15" s="2">
        <v>7.2</v>
      </c>
      <c r="C15" s="3">
        <v>200</v>
      </c>
      <c r="D15" s="2"/>
      <c r="E15" s="2"/>
      <c r="F15" s="2"/>
      <c r="G15" s="2"/>
      <c r="H15" s="2"/>
      <c r="I15" s="2"/>
    </row>
    <row r="16" spans="1:9" x14ac:dyDescent="0.3">
      <c r="A16" s="1">
        <v>166.74730499999998</v>
      </c>
      <c r="B16" s="2">
        <v>9</v>
      </c>
      <c r="C16" s="3">
        <v>300</v>
      </c>
      <c r="D16" s="2"/>
      <c r="E16" s="2"/>
      <c r="F16" s="2"/>
      <c r="G16" s="2"/>
      <c r="H16" s="2"/>
      <c r="I16" s="2"/>
    </row>
    <row r="17" spans="1:17" x14ac:dyDescent="0.3">
      <c r="A17" s="1">
        <v>241.293159</v>
      </c>
      <c r="B17" s="2">
        <v>10.5</v>
      </c>
      <c r="C17" s="3">
        <v>420</v>
      </c>
      <c r="D17" s="2"/>
      <c r="E17" s="2"/>
      <c r="F17" s="2"/>
      <c r="G17" s="2"/>
      <c r="H17" s="2"/>
      <c r="I17" s="2"/>
    </row>
    <row r="18" spans="1:17" x14ac:dyDescent="0.3">
      <c r="A18" s="1">
        <v>302.10688199999998</v>
      </c>
      <c r="B18" s="2">
        <v>12</v>
      </c>
      <c r="C18" s="3">
        <v>510</v>
      </c>
      <c r="D18" s="2"/>
      <c r="E18" s="2"/>
      <c r="F18" s="2"/>
      <c r="G18" s="2"/>
      <c r="H18" s="2"/>
      <c r="I18" s="2"/>
    </row>
    <row r="19" spans="1:17" x14ac:dyDescent="0.3">
      <c r="A19" s="1">
        <v>486.50978399999997</v>
      </c>
      <c r="B19" s="2">
        <v>15</v>
      </c>
      <c r="C19" s="3">
        <v>800</v>
      </c>
      <c r="D19" s="2"/>
      <c r="E19" s="2"/>
      <c r="F19" s="2"/>
      <c r="G19" s="2"/>
      <c r="H19" s="2"/>
      <c r="I19" s="2"/>
    </row>
    <row r="20" spans="1:17" x14ac:dyDescent="0.3">
      <c r="A20" s="1">
        <v>635.60149199999989</v>
      </c>
      <c r="B20" s="2">
        <v>17</v>
      </c>
      <c r="C20" s="3">
        <v>1050</v>
      </c>
      <c r="D20" s="2"/>
      <c r="E20" s="2"/>
      <c r="F20" s="2"/>
      <c r="G20" s="2"/>
      <c r="H20" s="2"/>
      <c r="I20" s="2"/>
    </row>
    <row r="21" spans="1:17" x14ac:dyDescent="0.3">
      <c r="A21" s="1" t="s">
        <v>8</v>
      </c>
      <c r="B21" s="2"/>
      <c r="C21" s="3"/>
      <c r="D21" s="2"/>
      <c r="E21" s="2"/>
      <c r="F21" s="2"/>
      <c r="G21" s="2"/>
      <c r="H21" s="2"/>
      <c r="I21" s="2"/>
    </row>
    <row r="22" spans="1:17" x14ac:dyDescent="0.3">
      <c r="A22" s="9" t="s">
        <v>4</v>
      </c>
      <c r="B22" s="8" t="s">
        <v>5</v>
      </c>
      <c r="C22" s="10" t="s">
        <v>6</v>
      </c>
      <c r="D22" s="2"/>
      <c r="E22" s="2"/>
      <c r="F22" s="2"/>
      <c r="G22" s="2"/>
      <c r="H22" s="2"/>
      <c r="I22" s="2"/>
    </row>
    <row r="23" spans="1:17" x14ac:dyDescent="0.3">
      <c r="A23" s="1">
        <v>21.579063000000001</v>
      </c>
      <c r="B23" s="2">
        <v>2.6</v>
      </c>
      <c r="C23" s="3">
        <v>60</v>
      </c>
      <c r="D23" s="2"/>
      <c r="E23" s="2"/>
      <c r="F23" s="2"/>
      <c r="G23" s="2"/>
      <c r="H23" s="2"/>
      <c r="I23" s="2"/>
      <c r="N23" t="s">
        <v>9</v>
      </c>
      <c r="O23" s="24">
        <f>0.0164929271194539*1000</f>
        <v>16.492927119453899</v>
      </c>
      <c r="Q23">
        <f>LN(O23)</f>
        <v>2.8029316295787825</v>
      </c>
    </row>
    <row r="24" spans="1:17" x14ac:dyDescent="0.3">
      <c r="A24" s="1">
        <v>41.196393</v>
      </c>
      <c r="B24" s="2">
        <v>4.8</v>
      </c>
      <c r="C24" s="3">
        <v>125</v>
      </c>
      <c r="D24" s="2"/>
      <c r="E24" s="2"/>
      <c r="F24" s="2"/>
      <c r="G24" s="2"/>
      <c r="H24" s="2"/>
      <c r="I24" s="2"/>
      <c r="N24" t="s">
        <v>10</v>
      </c>
      <c r="O24" s="24">
        <f>1000*0.078780065659014</f>
        <v>78.780065659013999</v>
      </c>
      <c r="Q24">
        <f t="shared" ref="Q24:Q25" si="0">LN(O24)</f>
        <v>4.3666599909901658</v>
      </c>
    </row>
    <row r="25" spans="1:17" x14ac:dyDescent="0.3">
      <c r="A25" s="1">
        <v>78.469319999999996</v>
      </c>
      <c r="B25" s="2">
        <v>7.8</v>
      </c>
      <c r="C25" s="3">
        <v>233</v>
      </c>
      <c r="D25" s="2"/>
      <c r="E25" s="2"/>
      <c r="F25" s="2"/>
      <c r="G25" s="2"/>
      <c r="H25" s="2"/>
      <c r="I25" s="2"/>
      <c r="N25" t="s">
        <v>11</v>
      </c>
      <c r="O25" s="24">
        <f>1000*0.089970294557177</f>
        <v>89.970294557176999</v>
      </c>
      <c r="Q25">
        <f t="shared" si="0"/>
        <v>4.4994795553725062</v>
      </c>
    </row>
    <row r="26" spans="1:17" x14ac:dyDescent="0.3">
      <c r="A26" s="1">
        <v>145.16824199999999</v>
      </c>
      <c r="B26" s="2">
        <v>10.6</v>
      </c>
      <c r="C26" s="3">
        <v>428</v>
      </c>
      <c r="D26" s="2"/>
      <c r="E26" s="2"/>
      <c r="F26" s="2"/>
      <c r="G26" s="2"/>
      <c r="H26" s="2"/>
      <c r="I26" s="2"/>
    </row>
    <row r="27" spans="1:17" x14ac:dyDescent="0.3">
      <c r="A27" s="1">
        <v>192.24983399999999</v>
      </c>
      <c r="B27" s="2">
        <v>12.7</v>
      </c>
      <c r="C27" s="3">
        <v>571</v>
      </c>
      <c r="D27" s="2"/>
      <c r="E27" s="2"/>
      <c r="F27" s="2"/>
      <c r="G27" s="2"/>
      <c r="H27" s="2"/>
      <c r="I27" s="2"/>
      <c r="N27" t="s">
        <v>12</v>
      </c>
      <c r="O27">
        <v>4.0999999999999996</v>
      </c>
      <c r="P27">
        <v>1.5</v>
      </c>
      <c r="Q27">
        <f>LN(P27)</f>
        <v>0.40546510810816438</v>
      </c>
    </row>
    <row r="28" spans="1:17" x14ac:dyDescent="0.3">
      <c r="A28" s="1">
        <v>270.719154</v>
      </c>
      <c r="B28" s="2">
        <v>15</v>
      </c>
      <c r="C28" s="3">
        <v>800</v>
      </c>
      <c r="D28" s="2"/>
      <c r="E28" s="2"/>
      <c r="F28" s="2"/>
      <c r="G28" s="2"/>
      <c r="H28" s="2"/>
      <c r="I28" s="2"/>
      <c r="N28" t="s">
        <v>7</v>
      </c>
      <c r="O28">
        <v>3</v>
      </c>
      <c r="P28">
        <v>2.0499999999999998</v>
      </c>
      <c r="Q28">
        <f t="shared" ref="Q28:Q29" si="1">LN(P28)</f>
        <v>0.71783979315031676</v>
      </c>
    </row>
    <row r="29" spans="1:17" ht="15" thickBot="1" x14ac:dyDescent="0.35">
      <c r="A29" s="4">
        <v>357.03540599999997</v>
      </c>
      <c r="B29" s="5">
        <v>17</v>
      </c>
      <c r="C29" s="6">
        <v>1050</v>
      </c>
      <c r="D29" s="2"/>
      <c r="E29" s="2"/>
      <c r="F29" s="2"/>
      <c r="G29" s="2"/>
      <c r="H29" s="2"/>
      <c r="I29" s="2"/>
      <c r="N29" t="s">
        <v>8</v>
      </c>
      <c r="O29">
        <v>5.2</v>
      </c>
      <c r="P29">
        <f t="shared" ref="P28:P29" si="2">O29/2</f>
        <v>2.6</v>
      </c>
      <c r="Q29">
        <f t="shared" si="1"/>
        <v>0.95551144502743635</v>
      </c>
    </row>
    <row r="32" spans="1:17" x14ac:dyDescent="0.3">
      <c r="N32" t="s">
        <v>15</v>
      </c>
      <c r="O32" s="24">
        <f>1000*0.0170106096361477</f>
        <v>17.010609636147699</v>
      </c>
      <c r="Q32">
        <f>LN(O32)</f>
        <v>2.8338372456331271</v>
      </c>
    </row>
    <row r="33" spans="5:17" x14ac:dyDescent="0.3">
      <c r="N33" t="s">
        <v>16</v>
      </c>
      <c r="O33" s="24">
        <f>1000*0.0260459329394683</f>
        <v>26.045932939468297</v>
      </c>
      <c r="Q33">
        <f>LN(O33)</f>
        <v>3.2598616308462089</v>
      </c>
    </row>
    <row r="37" spans="5:17" x14ac:dyDescent="0.3">
      <c r="E37" t="s">
        <v>13</v>
      </c>
      <c r="F37" t="s">
        <v>14</v>
      </c>
      <c r="G37" t="s">
        <v>17</v>
      </c>
    </row>
    <row r="38" spans="5:17" x14ac:dyDescent="0.3">
      <c r="E38" s="25">
        <v>0.40546510810816438</v>
      </c>
      <c r="F38" s="25">
        <v>1.7093278328999999</v>
      </c>
      <c r="I38" t="s">
        <v>13</v>
      </c>
      <c r="J38" t="s">
        <v>17</v>
      </c>
    </row>
    <row r="39" spans="5:17" x14ac:dyDescent="0.3">
      <c r="E39" s="25">
        <v>0.71783979315031676</v>
      </c>
      <c r="F39" s="25">
        <v>3.0398789471300001</v>
      </c>
      <c r="G39">
        <v>2.8338372456331271</v>
      </c>
      <c r="I39" s="25">
        <v>0.71783979315031676</v>
      </c>
      <c r="J39">
        <v>1.8</v>
      </c>
    </row>
    <row r="40" spans="5:17" x14ac:dyDescent="0.3">
      <c r="E40" s="25">
        <v>0.95551144502743635</v>
      </c>
      <c r="F40" s="25">
        <v>4.0912798385790001</v>
      </c>
      <c r="G40">
        <v>3.2598616308462089</v>
      </c>
      <c r="I40" s="25">
        <v>0.95551144502743635</v>
      </c>
      <c r="J40">
        <v>2.4</v>
      </c>
    </row>
  </sheetData>
  <mergeCells count="5">
    <mergeCell ref="A11:C11"/>
    <mergeCell ref="A1:C1"/>
    <mergeCell ref="A2:C2"/>
    <mergeCell ref="D2:F2"/>
    <mergeCell ref="G2:I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</dc:creator>
  <cp:lastModifiedBy>Мария</cp:lastModifiedBy>
  <dcterms:created xsi:type="dcterms:W3CDTF">2025-03-25T13:06:23Z</dcterms:created>
  <dcterms:modified xsi:type="dcterms:W3CDTF">2025-03-27T08:13:05Z</dcterms:modified>
</cp:coreProperties>
</file>